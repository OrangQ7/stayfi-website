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295fb3ca734e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d0dd13554b634bf2"/>
    <x:sheet xmlns:r="http://schemas.openxmlformats.org/officeDocument/2006/relationships" name="PMS Monthly" sheetId="2" r:id="R5639af00e5954356"/>
    <x:sheet xmlns:r="http://schemas.openxmlformats.org/officeDocument/2006/relationships" name="Bookings Raw" sheetId="3" r:id="Rce9ee458f8e249f7"/>
    <x:sheet xmlns:r="http://schemas.openxmlformats.org/officeDocument/2006/relationships" name="Exceptions" sheetId="4" r:id="Re22e3963cf89499f"/>
    <x:sheet xmlns:r="http://schemas.openxmlformats.org/officeDocument/2006/relationships" name="Checks" sheetId="5" r:id="Ra7e17e9dd4844a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$#,##0;[Red]($#,##0);-"/>
    <x:numFmt numFmtId="202" formatCode="0.0%;[Red](0.0%);-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008000"/>
      <x:name val="Aptos"/>
    </x:font>
    <x:font>
      <x:b/>
      <x:sz val="11"/>
      <x:color rgb="FF0B254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2E74B5"/>
      </x:patternFill>
    </x:fill>
    <x:fill>
      <x:patternFill patternType="solid">
        <x:fgColor rgb="FFFFF4CE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FEE2E2"/>
      </x:patternFill>
    </x:fill>
  </x:fills>
  <x:borders count="10">
    <x:border/>
    <x:border>
      <x:left style="thin">
        <x:color rgb="FF2E74B5"/>
      </x:left>
      <x:right style="thin">
        <x:color rgb="FF2E74B5"/>
      </x:right>
      <x:top style="thin">
        <x:color rgb="FF2E74B5"/>
      </x:top>
    </x:border>
    <x:border>
      <x:left style="thin">
        <x:color rgb="FF2E74B5"/>
      </x:left>
      <x:right style="thin">
        <x:color rgb="FF2E74B5"/>
      </x:right>
    </x:border>
    <x:border>
      <x:left style="thin">
        <x:color rgb="FF2E74B5"/>
      </x:left>
      <x:right style="thin">
        <x:color rgb="FF2E74B5"/>
      </x:right>
      <x:bottom style="thin">
        <x:color rgb="FF2E74B5"/>
      </x:bottom>
    </x:border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  <x:border>
      <x:left style="thin">
        <x:color rgb="FF2E74B5"/>
      </x:left>
      <x:top style="thin">
        <x:color rgb="FF2E74B5"/>
      </x:top>
      <x:bottom style="thin">
        <x:color rgb="FF2E74B5"/>
      </x:bottom>
    </x:border>
    <x:border>
      <x:top style="thin">
        <x:color rgb="FF2E74B5"/>
      </x:top>
      <x:bottom style="thin">
        <x:color rgb="FF2E74B5"/>
      </x:bottom>
    </x:border>
    <x:border>
      <x:right style="thin">
        <x:color rgb="FF2E74B5"/>
      </x:right>
      <x:top style="thin">
        <x:color rgb="FF2E74B5"/>
      </x:top>
      <x:bottom style="thin">
        <x:color rgb="FF2E74B5"/>
      </x:bottom>
    </x:border>
    <x:border>
      <x:left style="thin">
        <x:color rgb="FFC8D0DA"/>
      </x:left>
      <x:right style="thin">
        <x:color rgb="FFC8D0DA"/>
      </x:right>
      <x:top style="thin">
        <x:color rgb="FFC8D0DA"/>
      </x:top>
      <x:bottom style="thin">
        <x:color rgb="FFC8D0DA"/>
      </x:bottom>
    </x:border>
    <x:border>
      <x:left style="thin">
        <x:color rgb="FFD9DEE5"/>
      </x:left>
      <x:right style="thin">
        <x:color rgb="FFD9DEE5"/>
      </x:right>
      <x:top style="double">
        <x:color rgb="FF0B2545"/>
      </x:top>
      <x:bottom style="thin">
        <x:color rgb="FF0B2545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4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0" fillId="4" borderId="4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4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0" fontId="6" fillId="3" borderId="7" xfId="0" applyNumberFormat="1" applyFont="1" applyFill="1" applyBorder="1"/>
    <x:xf numFmtId="0" fontId="5" fillId="4" borderId="4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wrapText="1"/>
    </x:xf>
    <x:xf numFmtId="0" fontId="6" fillId="3" borderId="6" xfId="0" applyNumberFormat="1" applyFont="1" applyFill="1" applyBorder="1" applyAlignment="1">
      <x:alignment wrapText="1"/>
    </x:xf>
    <x:xf numFmtId="0" fontId="6" fillId="3" borderId="7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8" xfId="0" applyNumberFormat="1" applyFont="1" applyFill="1" applyBorder="1"/>
    <x:xf numFmtId="0" fontId="8" fillId="5" borderId="8" xfId="0" applyNumberFormat="1" applyFont="1" applyFill="1" applyBorder="1" applyAlignment="1">
      <x:alignment wrapText="1"/>
    </x:xf>
    <x:xf numFmtId="0" fontId="8" fillId="5" borderId="8" xfId="0" applyNumberFormat="1" applyFont="1" applyFill="1" applyBorder="1" applyAlignment="1">
      <x:alignment vertical="center" wrapText="1"/>
    </x:xf>
    <x:xf numFmtId="0" fontId="0" fillId="6" borderId="4" xfId="0" applyNumberFormat="1" applyFont="1" applyFill="1" applyBorder="1" applyAlignment="1">
      <x:alignment vertical="center"/>
    </x:xf>
    <x:xf numFmtId="0" fontId="8" fillId="6" borderId="4" xfId="0" applyNumberFormat="1" applyFont="1" applyFill="1" applyBorder="1" applyAlignment="1">
      <x:alignment vertical="center"/>
    </x:xf>
    <x:xf numFmtId="0" fontId="8" fillId="6" borderId="9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8" fillId="6" borderId="9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8" fillId="6" borderId="9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2" fontId="8" fillId="6" borderId="9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vertical="center"/>
    </x:xf>
    <x:xf numFmtId="200" fontId="0" fillId="7" borderId="4" xfId="0" applyNumberFormat="1" applyFont="1" applyFill="1" applyBorder="1" applyAlignment="1">
      <x:alignment vertical="center"/>
    </x:xf>
    <x:xf numFmtId="201" fontId="0" fillId="7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7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4ca4f91c546c3" /><Relationship Type="http://schemas.openxmlformats.org/officeDocument/2006/relationships/theme" Target="/xl/theme/theme1.xml" Id="R018d9024cdce4fbb" /><Relationship Type="http://schemas.openxmlformats.org/officeDocument/2006/relationships/sharedStrings" Target="/xl/sharedStrings.xml" Id="R1c0fb7af34e745bb" /><Relationship Type="http://schemas.openxmlformats.org/officeDocument/2006/relationships/worksheet" Target="/xl/worksheets/sheet1.xml" Id="Rd0dd13554b634bf2" /><Relationship Type="http://schemas.openxmlformats.org/officeDocument/2006/relationships/worksheet" Target="/xl/worksheets/sheet2.xml" Id="R5639af00e5954356" /><Relationship Type="http://schemas.openxmlformats.org/officeDocument/2006/relationships/worksheet" Target="/xl/worksheets/sheet3.xml" Id="Rce9ee458f8e249f7" /><Relationship Type="http://schemas.openxmlformats.org/officeDocument/2006/relationships/worksheet" Target="/xl/worksheets/sheet4.xml" Id="Re22e3963cf89499f" /><Relationship Type="http://schemas.openxmlformats.org/officeDocument/2006/relationships/worksheet" Target="/xl/worksheets/sheet5.xml" Id="Ra7e17e9dd4844a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5" hidden="0" customWidth="1"/>
    <x:col min="3" max="3" width="42" hidden="0" customWidth="1"/>
    <x:col min="4" max="4" width="20" hidden="0" customWidth="1"/>
    <x:col min="5" max="5" width="48" hidden="0" customWidth="1"/>
    <x:col min="6" max="6" width="12" hidden="0" customWidth="1"/>
  </x:cols>
  <x:sheetData>
    <x:row r="1" ht="34" customHeight="1">
      <x:c r="A1" s="18" t="str">
        <x:v>Fjordlight Grand Hotel - Complex PMS Evaluation Export</x:v>
      </x:c>
      <x:c r="B1" s="18" t="str">
        <x:v>Fjordlight Grand Hotel - Complex PMS Evaluation Export</x:v>
      </x:c>
      <x:c r="C1" s="18" t="str">
        <x:v>Fjordlight Grand Hotel - Complex PMS Evaluation Export</x:v>
      </x:c>
      <x:c r="D1" s="18" t="str">
        <x:v>Fjordlight Grand Hotel - Complex PMS Evaluation Export</x:v>
      </x:c>
      <x:c r="E1" s="18" t="str">
        <x:v>Fjordlight Grand Hotel - Complex PMS Evaluation Export</x:v>
      </x:c>
      <x:c r="F1" s="18" t="str">
        <x:v>Fjordlight Grand Hotel - Complex PMS Evaluation Export</x:v>
      </x:c>
    </x:row>
    <x:row r="2" ht="34" customHeight="1">
      <x:c r="A2" s="18" t="str">
        <x:v>Fjordlight Grand Hotel - Complex PMS Evaluation Export</x:v>
      </x:c>
      <x:c r="B2" s="18" t="str">
        <x:v>Fjordlight Grand Hotel - Complex PMS Evaluation Export</x:v>
      </x:c>
      <x:c r="C2" s="18" t="str">
        <x:v>Fjordlight Grand Hotel - Complex PMS Evaluation Export</x:v>
      </x:c>
      <x:c r="D2" s="18" t="str">
        <x:v>Fjordlight Grand Hotel - Complex PMS Evaluation Export</x:v>
      </x:c>
      <x:c r="E2" s="18" t="str">
        <x:v>Fjordlight Grand Hotel - Complex PMS Evaluation Export</x:v>
      </x:c>
      <x:c r="F2" s="18" t="str">
        <x:v>Fjordlight Grand Hotel - Complex PMS Evaluation Export</x:v>
      </x:c>
    </x:row>
    <x:row r="3">
      <x:c r="A3" s="19"/>
      <x:c r="B3" s="19"/>
      <x:c r="C3" s="19"/>
      <x:c r="D3" s="19"/>
      <x:c r="E3" s="19"/>
      <x:c r="F3" s="19"/>
    </x:row>
    <x:row r="4" ht="15" hidden="0" customHeight="1">
      <x:c r="A4" s="27" t="str">
        <x:v>Case</x:v>
      </x:c>
      <x:c r="B4" s="28" t="str">
        <x:v>fjordlight-2027-28-winter</x:v>
      </x:c>
      <x:c r="C4" s="29"/>
      <x:c r="D4" s="29"/>
      <x:c r="E4" s="29"/>
      <x:c r="F4" s="29"/>
    </x:row>
    <x:row r="5" ht="15" hidden="0" customHeight="1">
      <x:c r="A5" s="27" t="str">
        <x:v>Data status</x:v>
      </x:c>
      <x:c r="B5" s="30" t="str">
        <x:v>SYNTHETIC - no real hotel, guest, operator, or bank account</x:v>
      </x:c>
      <x:c r="C5" s="29"/>
      <x:c r="D5" s="29"/>
      <x:c r="E5" s="29"/>
      <x:c r="F5" s="29"/>
    </x:row>
    <x:row r="6" ht="15" hidden="0" customHeight="1">
      <x:c r="A6" s="27" t="str">
        <x:v>Property</x:v>
      </x:c>
      <x:c r="B6" s="30" t="str">
        <x:v>Fjordlight Grand Hotel</x:v>
      </x:c>
      <x:c r="C6" s="29"/>
      <x:c r="D6" s="29"/>
      <x:c r="E6" s="29"/>
      <x:c r="F6" s="29"/>
    </x:row>
    <x:row r="7" ht="15" hidden="0" customHeight="1">
      <x:c r="A7" s="27" t="str">
        <x:v>Location</x:v>
      </x:c>
      <x:c r="B7" s="30" t="str">
        <x:v>Tromso, Norway</x:v>
      </x:c>
      <x:c r="C7" s="29"/>
      <x:c r="D7" s="29"/>
      <x:c r="E7" s="29"/>
      <x:c r="F7" s="29"/>
    </x:row>
    <x:row r="8" ht="15" hidden="0" customHeight="1">
      <x:c r="A8" s="27" t="str">
        <x:v>Sellable rooms</x:v>
      </x:c>
      <x:c r="B8" s="30" t="n">
        <x:v>96</x:v>
      </x:c>
      <x:c r="C8" s="29"/>
      <x:c r="D8" s="29"/>
      <x:c r="E8" s="29"/>
      <x:c r="F8" s="29"/>
    </x:row>
    <x:row r="9" ht="15" hidden="0" customHeight="1">
      <x:c r="A9" s="27" t="str">
        <x:v>Season</x:v>
      </x:c>
      <x:c r="B9" s="30" t="str">
        <x:v>2027-11-01 through 2028-03-31</x:v>
      </x:c>
      <x:c r="C9" s="29"/>
      <x:c r="D9" s="29"/>
      <x:c r="E9" s="29"/>
      <x:c r="F9" s="29"/>
    </x:row>
    <x:row r="10" ht="15" hidden="0" customHeight="1">
      <x:c r="A10" s="27" t="str">
        <x:v>Currency</x:v>
      </x:c>
      <x:c r="B10" s="30" t="str">
        <x:v>USDC-equivalent</x:v>
      </x:c>
      <x:c r="C10" s="29"/>
      <x:c r="D10" s="29"/>
      <x:c r="E10" s="29"/>
      <x:c r="F10" s="29"/>
    </x:row>
    <x:row r="11" ht="26.399999618530273" hidden="0" customHeight="1">
      <x:c r="A11" s="27" t="str">
        <x:v>Source hierarchy</x:v>
      </x:c>
      <x:c r="B11" s="30" t="str">
        <x:v>Use PMS Monthly for forward-revenue totals; Bookings Raw is an exception sample only</x:v>
      </x:c>
      <x:c r="C11" s="29"/>
      <x:c r="D11" s="29"/>
      <x:c r="E11" s="29"/>
      <x:c r="F11" s="29"/>
    </x:row>
    <x:row r="12" ht="15" hidden="0" customHeight="1">
      <x:c r="A12" s="29"/>
      <x:c r="B12" s="29"/>
      <x:c r="C12" s="29"/>
      <x:c r="D12" s="29"/>
      <x:c r="E12" s="29"/>
      <x:c r="F12" s="29"/>
    </x:row>
    <x:row r="13" ht="15" hidden="0" customHeight="1">
      <x:c r="A13" s="31" t="str">
        <x:v>Evaluation complications intentionally embedded</x:v>
      </x:c>
      <x:c r="B13" s="32" t="str">
        <x:v>Evaluation complications intentionally embedded</x:v>
      </x:c>
      <x:c r="C13" s="32" t="str">
        <x:v>Evaluation complications intentionally embedded</x:v>
      </x:c>
      <x:c r="D13" s="32" t="str">
        <x:v>Evaluation complications intentionally embedded</x:v>
      </x:c>
      <x:c r="E13" s="32" t="str">
        <x:v>Evaluation complications intentionally embedded</x:v>
      </x:c>
      <x:c r="F13" s="33" t="str">
        <x:v>Evaluation complications intentionally embedded</x:v>
      </x:c>
    </x:row>
    <x:row r="14" ht="15" hidden="0" customHeight="1">
      <x:c r="A14" s="28" t="str">
        <x:v>1</x:v>
      </x:c>
      <x:c r="B14" s="28" t="str">
        <x:v>Duplicate booking</x:v>
      </x:c>
      <x:c r="C14" s="28" t="str">
        <x:v>BKG-3118 appears twice</x:v>
      </x:c>
      <x:c r="D14" s="28" t="str">
        <x:v>Expected action</x:v>
      </x:c>
      <x:c r="E14" s="28" t="str">
        <x:v>Exclude or resolve duplicate before approval</x:v>
      </x:c>
      <x:c r="F14" s="34" t="str">
        <x:v>Open</x:v>
      </x:c>
    </x:row>
    <x:row r="15" ht="26.399999618530273" hidden="0" customHeight="1">
      <x:c r="A15" s="28" t="str">
        <x:v>2</x:v>
      </x:c>
      <x:c r="B15" s="28" t="str">
        <x:v>Room-count conflict</x:v>
      </x:c>
      <x:c r="C15" s="28" t="str">
        <x:v>Profile says 96 sellable; request says 100 revenue rooms</x:v>
      </x:c>
      <x:c r="D15" s="28" t="str">
        <x:v>Expected action</x:v>
      </x:c>
      <x:c r="E15" s="28" t="str">
        <x:v>Reconcile inventory definition</x:v>
      </x:c>
      <x:c r="F15" s="34" t="str">
        <x:v>Open</x:v>
      </x:c>
    </x:row>
    <x:row r="16" ht="26.399999618530273" hidden="0" customHeight="1">
      <x:c r="A16" s="28" t="str">
        <x:v>3</x:v>
      </x:c>
      <x:c r="B16" s="28" t="str">
        <x:v>Bank reconciliation</x:v>
      </x:c>
      <x:c r="C16" s="28" t="str">
        <x:v>Historical verified lodging inflow is 92% of PMS revenue</x:v>
      </x:c>
      <x:c r="D16" s="28" t="str">
        <x:v>Expected action</x:v>
      </x:c>
      <x:c r="E16" s="28" t="str">
        <x:v>Explain the 8% gap</x:v>
      </x:c>
      <x:c r="F16" s="34" t="str">
        <x:v>Open</x:v>
      </x:c>
    </x:row>
    <x:row r="17" ht="15" hidden="0" customHeight="1">
      <x:c r="A17" s="28" t="str">
        <x:v>4</x:v>
      </x:c>
      <x:c r="B17" s="28" t="str">
        <x:v>Insurance expiry</x:v>
      </x:c>
      <x:c r="C17" s="28" t="str">
        <x:v>Current certificate expires 2027-10-31</x:v>
      </x:c>
      <x:c r="D17" s="28" t="str">
        <x:v>Expected action</x:v>
      </x:c>
      <x:c r="E17" s="28" t="str">
        <x:v>Obtain renewal before funding</x:v>
      </x:c>
      <x:c r="F17" s="34" t="str">
        <x:v>Open</x:v>
      </x:c>
    </x:row>
    <x:row r="18" ht="26.399999618530273" hidden="0" customHeight="1">
      <x:c r="A18" s="28" t="str">
        <x:v>5</x:v>
      </x:c>
      <x:c r="B18" s="28" t="str">
        <x:v>OTA dispute</x:v>
      </x:c>
      <x:c r="C18" s="28" t="str">
        <x:v>January settlement includes a 42,000 USDC chargeback</x:v>
      </x:c>
      <x:c r="D18" s="28" t="str">
        <x:v>Expected action</x:v>
      </x:c>
      <x:c r="E18" s="28" t="str">
        <x:v>Resolve disputed settlement</x:v>
      </x:c>
      <x:c r="F18" s="34" t="str">
        <x:v>Open</x:v>
      </x:c>
    </x:row>
  </x:sheetData>
  <x:mergeCells>
    <x:mergeCell ref="A1:F2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3" hidden="0" customWidth="1"/>
  </x:cols>
  <x:sheetData>
    <x:row r="1" ht="34" customHeight="1">
      <x:c r="A1" s="18" t="str">
        <x:v>PMS Monthly Summary - Forward Winter 2027/28</x:v>
      </x:c>
      <x:c r="B1" s="18" t="str">
        <x:v>PMS Monthly Summary - Forward Winter 2027/28</x:v>
      </x:c>
      <x:c r="C1" s="18" t="str">
        <x:v>PMS Monthly Summary - Forward Winter 2027/28</x:v>
      </x:c>
      <x:c r="D1" s="18" t="str">
        <x:v>PMS Monthly Summary - Forward Winter 2027/28</x:v>
      </x:c>
      <x:c r="E1" s="18" t="str">
        <x:v>PMS Monthly Summary - Forward Winter 2027/28</x:v>
      </x:c>
      <x:c r="F1" s="18" t="str">
        <x:v>PMS Monthly Summary - Forward Winter 2027/28</x:v>
      </x:c>
      <x:c r="G1" s="18" t="str">
        <x:v>PMS Monthly Summary - Forward Winter 2027/28</x:v>
      </x:c>
      <x:c r="H1" s="18" t="str">
        <x:v>PMS Monthly Summary - Forward Winter 2027/28</x:v>
      </x:c>
    </x:row>
    <x:row r="2" ht="34" customHeight="1">
      <x:c r="A2" s="3" t="str">
        <x:v>PMS Monthly Summary - Forward Winter 2027/28</x:v>
      </x:c>
      <x:c r="B2" s="3" t="str">
        <x:v>PMS Monthly Summary - Forward Winter 2027/28</x:v>
      </x:c>
      <x:c r="C2" s="3" t="str">
        <x:v>PMS Monthly Summary - Forward Winter 2027/28</x:v>
      </x:c>
      <x:c r="D2" s="3" t="str">
        <x:v>PMS Monthly Summary - Forward Winter 2027/28</x:v>
      </x:c>
      <x:c r="E2" s="3" t="str">
        <x:v>PMS Monthly Summary - Forward Winter 2027/28</x:v>
      </x:c>
      <x:c r="F2" s="3" t="str">
        <x:v>PMS Monthly Summary - Forward Winter 2027/28</x:v>
      </x:c>
      <x:c r="G2" s="3" t="str">
        <x:v>PMS Monthly Summary - Forward Winter 2027/28</x:v>
      </x:c>
      <x:c r="H2" s="3" t="str">
        <x:v>PMS Monthly Summary - Forward Winter 2027/28</x:v>
      </x:c>
    </x:row>
    <x:row r="4" ht="15" hidden="0" customHeight="1">
      <x:c r="A4" s="39" t="str">
        <x:v>Stay month</x:v>
      </x:c>
      <x:c r="B4" s="39" t="str">
        <x:v>Available room nights</x:v>
      </x:c>
      <x:c r="C4" s="39" t="str">
        <x:v>Booked room nights</x:v>
      </x:c>
      <x:c r="D4" s="39" t="str">
        <x:v>Gross booked revenue</x:v>
      </x:c>
      <x:c r="E4" s="39" t="str">
        <x:v>Cancellations</x:v>
      </x:c>
      <x:c r="F4" s="39" t="str">
        <x:v>Refunds</x:v>
      </x:c>
      <x:c r="G4" s="39" t="str">
        <x:v>Net booked revenue</x:v>
      </x:c>
      <x:c r="H4" s="39" t="str">
        <x:v>Occupancy</x:v>
      </x:c>
    </x:row>
    <x:row r="5" ht="15" hidden="0" customHeight="1">
      <x:c r="A5" s="12" t="str">
        <x:v>2027-11</x:v>
      </x:c>
      <x:c r="B5" s="43" t="n">
        <x:v>2880</x:v>
      </x:c>
      <x:c r="C5" s="43" t="n">
        <x:v>2150</x:v>
      </x:c>
      <x:c r="D5" s="45" t="n">
        <x:v>920000</x:v>
      </x:c>
      <x:c r="E5" s="45" t="n">
        <x:v>50000</x:v>
      </x:c>
      <x:c r="F5" s="45" t="n">
        <x:v>20000</x:v>
      </x:c>
      <x:c r="G5" s="45" t="n">
        <x:f>D5-E5-F5</x:f>
        <x:v>850000</x:v>
      </x:c>
      <x:c r="H5" s="47" t="n">
        <x:f>C5/B5</x:f>
        <x:v>0.7465277777777778</x:v>
      </x:c>
    </x:row>
    <x:row r="6" ht="15" hidden="0" customHeight="1">
      <x:c r="A6" s="12" t="str">
        <x:v>2027-12</x:v>
      </x:c>
      <x:c r="B6" s="43" t="n">
        <x:v>2976</x:v>
      </x:c>
      <x:c r="C6" s="43" t="n">
        <x:v>2470</x:v>
      </x:c>
      <x:c r="D6" s="45" t="n">
        <x:v>1240000</x:v>
      </x:c>
      <x:c r="E6" s="45" t="n">
        <x:v>60000</x:v>
      </x:c>
      <x:c r="F6" s="45" t="n">
        <x:v>30000</x:v>
      </x:c>
      <x:c r="G6" s="45" t="n">
        <x:f>D6-E6-F6</x:f>
        <x:v>1150000</x:v>
      </x:c>
      <x:c r="H6" s="47" t="n">
        <x:f>C6/B6</x:f>
        <x:v>0.8299731182795699</x:v>
      </x:c>
    </x:row>
    <x:row r="7" ht="15" hidden="0" customHeight="1">
      <x:c r="A7" s="12" t="str">
        <x:v>2028-01</x:v>
      </x:c>
      <x:c r="B7" s="43" t="n">
        <x:v>2976</x:v>
      </x:c>
      <x:c r="C7" s="43" t="n">
        <x:v>2580</x:v>
      </x:c>
      <x:c r="D7" s="45" t="n">
        <x:v>1410000</x:v>
      </x:c>
      <x:c r="E7" s="45" t="n">
        <x:v>55000</x:v>
      </x:c>
      <x:c r="F7" s="45" t="n">
        <x:v>35000</x:v>
      </x:c>
      <x:c r="G7" s="45" t="n">
        <x:f>D7-E7-F7</x:f>
        <x:v>1320000</x:v>
      </x:c>
      <x:c r="H7" s="47" t="n">
        <x:f>C7/B7</x:f>
        <x:v>0.8669354838709677</x:v>
      </x:c>
    </x:row>
    <x:row r="8" ht="15" hidden="0" customHeight="1">
      <x:c r="A8" s="12" t="str">
        <x:v>2028-02</x:v>
      </x:c>
      <x:c r="B8" s="43" t="n">
        <x:v>2784</x:v>
      </x:c>
      <x:c r="C8" s="43" t="n">
        <x:v>2390</x:v>
      </x:c>
      <x:c r="D8" s="45" t="n">
        <x:v>1360000</x:v>
      </x:c>
      <x:c r="E8" s="45" t="n">
        <x:v>50000</x:v>
      </x:c>
      <x:c r="F8" s="45" t="n">
        <x:v>30000</x:v>
      </x:c>
      <x:c r="G8" s="45" t="n">
        <x:f>D8-E8-F8</x:f>
        <x:v>1280000</x:v>
      </x:c>
      <x:c r="H8" s="47" t="n">
        <x:f>C8/B8</x:f>
        <x:v>0.8584770114942529</x:v>
      </x:c>
    </x:row>
    <x:row r="9" ht="15" hidden="0" customHeight="1">
      <x:c r="A9" s="12" t="str">
        <x:v>2028-03</x:v>
      </x:c>
      <x:c r="B9" s="43" t="n">
        <x:v>2976</x:v>
      </x:c>
      <x:c r="C9" s="43" t="n">
        <x:v>2230</x:v>
      </x:c>
      <x:c r="D9" s="45" t="n">
        <x:v>1090000</x:v>
      </x:c>
      <x:c r="E9" s="45" t="n">
        <x:v>60000</x:v>
      </x:c>
      <x:c r="F9" s="45" t="n">
        <x:v>30000</x:v>
      </x:c>
      <x:c r="G9" s="45" t="n">
        <x:f>D9-E9-F9</x:f>
        <x:v>1000000</x:v>
      </x:c>
      <x:c r="H9" s="47" t="n">
        <x:f>C9/B9</x:f>
        <x:v>0.7493279569892473</x:v>
      </x:c>
    </x:row>
    <x:row r="10" ht="15" hidden="0" customHeight="1">
      <x:c r="A10" s="42" t="str">
        <x:v>CONTROL TOTAL</x:v>
      </x:c>
      <x:c r="B10" s="44" t="n">
        <x:f>SUM(B5:B9)</x:f>
        <x:v>14592</x:v>
      </x:c>
      <x:c r="C10" s="44" t="n">
        <x:f>SUM(C5:C9)</x:f>
        <x:v>11820</x:v>
      </x:c>
      <x:c r="D10" s="46" t="n">
        <x:f>SUM(D5:D9)</x:f>
        <x:v>6020000</x:v>
      </x:c>
      <x:c r="E10" s="46" t="n">
        <x:f>SUM(E5:E9)</x:f>
        <x:v>275000</x:v>
      </x:c>
      <x:c r="F10" s="46" t="n">
        <x:f>SUM(F5:F9)</x:f>
        <x:v>145000</x:v>
      </x:c>
      <x:c r="G10" s="46" t="n">
        <x:f>SUM(G5:G9)</x:f>
        <x:v>5600000</x:v>
      </x:c>
      <x:c r="H10" s="48" t="n">
        <x:f>C10/B10</x:f>
        <x:v>0.8100328947368421</x:v>
      </x:c>
    </x:row>
    <x:row r="11"/>
    <x:row r="12" ht="52.79999923706055" hidden="0" customHeight="1">
      <x:c r="A12" s="36" t="str">
        <x:v>Control note</x:v>
      </x:c>
      <x:c r="B12" s="49" t="str">
        <x:v>Net booked revenue equals gross revenue less cancellations and refunds.</x:v>
      </x:c>
      <x:c r="C12" s="49"/>
      <x:c r="D12" s="49"/>
      <x:c r="E12" s="49"/>
      <x:c r="F12" s="49"/>
      <x:c r="G12" s="49"/>
      <x:c r="H12" s="49"/>
    </x:row>
    <x:row r="13" ht="39.599998474121094" hidden="0" customHeight="1">
      <x:c r="A13" s="36" t="str">
        <x:v>Control note</x:v>
      </x:c>
      <x:c r="B13" s="49" t="str">
        <x:v>Use row 10 for forward booked revenue and weighted occupancy.</x:v>
      </x:c>
      <x:c r="C13" s="49"/>
      <x:c r="D13" s="49"/>
      <x:c r="E13" s="49"/>
      <x:c r="F13" s="49"/>
      <x:c r="G13" s="49"/>
      <x:c r="H13" s="49"/>
    </x:row>
    <x:row r="14" ht="52.79999923706055" hidden="0" customHeight="1">
      <x:c r="A14" s="36" t="str">
        <x:v>Data status</x:v>
      </x:c>
      <x:c r="B14" s="49" t="str">
        <x:v>Synthetic fixture. Booking-level raw sheet is a sample, not the full ledger.</x:v>
      </x:c>
      <x:c r="C14" s="49"/>
      <x:c r="D14" s="49"/>
      <x:c r="E14" s="49"/>
      <x:c r="F14" s="49"/>
      <x:c r="G14" s="49"/>
      <x:c r="H14" s="49"/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7" hidden="0" customWidth="1"/>
    <x:col min="4" max="4" width="15" hidden="0" customWidth="1"/>
    <x:col min="5" max="5" width="15" hidden="0" customWidth="1"/>
    <x:col min="6" max="6" width="14" hidden="0" customWidth="1"/>
    <x:col min="7" max="7" width="42" hidden="0" customWidth="1"/>
  </x:cols>
  <x:sheetData>
    <x:row r="1" ht="34" customHeight="1">
      <x:c r="A1" s="18" t="str">
        <x:v>Bookings Raw - Exception Sample (not complete revenue ledger)</x:v>
      </x:c>
      <x:c r="B1" s="18" t="str">
        <x:v>Bookings Raw - Exception Sample (not complete revenue ledger)</x:v>
      </x:c>
      <x:c r="C1" s="18" t="str">
        <x:v>Bookings Raw - Exception Sample (not complete revenue ledger)</x:v>
      </x:c>
      <x:c r="D1" s="18" t="str">
        <x:v>Bookings Raw - Exception Sample (not complete revenue ledger)</x:v>
      </x:c>
      <x:c r="E1" s="18" t="str">
        <x:v>Bookings Raw - Exception Sample (not complete revenue ledger)</x:v>
      </x:c>
      <x:c r="F1" s="18" t="str">
        <x:v>Bookings Raw - Exception Sample (not complete revenue ledger)</x:v>
      </x:c>
      <x:c r="G1" s="18" t="str">
        <x:v>Bookings Raw - Exception Sample (not complete revenue ledger)</x:v>
      </x:c>
    </x:row>
    <x:row r="2" ht="34" customHeight="1">
      <x:c r="A2" s="3" t="str">
        <x:v>Bookings Raw - Exception Sample (not complete revenue ledger)</x:v>
      </x:c>
      <x:c r="B2" s="3" t="str">
        <x:v>Bookings Raw - Exception Sample (not complete revenue ledger)</x:v>
      </x:c>
      <x:c r="C2" s="3" t="str">
        <x:v>Bookings Raw - Exception Sample (not complete revenue ledger)</x:v>
      </x:c>
      <x:c r="D2" s="3" t="str">
        <x:v>Bookings Raw - Exception Sample (not complete revenue ledger)</x:v>
      </x:c>
      <x:c r="E2" s="3" t="str">
        <x:v>Bookings Raw - Exception Sample (not complete revenue ledger)</x:v>
      </x:c>
      <x:c r="F2" s="3" t="str">
        <x:v>Bookings Raw - Exception Sample (not complete revenue ledger)</x:v>
      </x:c>
      <x:c r="G2" s="3" t="str">
        <x:v>Bookings Raw - Exception Sample (not complete revenue ledger)</x:v>
      </x:c>
    </x:row>
    <x:row r="4" ht="15" hidden="0" customHeight="1">
      <x:c r="A4" s="39" t="str">
        <x:v>Booking ID</x:v>
      </x:c>
      <x:c r="B4" s="39" t="str">
        <x:v>Stay month</x:v>
      </x:c>
      <x:c r="C4" s="39" t="str">
        <x:v>Channel</x:v>
      </x:c>
      <x:c r="D4" s="39" t="str">
        <x:v>Room nights</x:v>
      </x:c>
      <x:c r="E4" s="39" t="str">
        <x:v>Gross USDC</x:v>
      </x:c>
      <x:c r="F4" s="39" t="str">
        <x:v>Status</x:v>
      </x:c>
      <x:c r="G4" s="39" t="str">
        <x:v>Exception note</x:v>
      </x:c>
    </x:row>
    <x:row r="5" ht="15" hidden="0" customHeight="1">
      <x:c r="A5" s="12" t="str">
        <x:v>BKG-3001</x:v>
      </x:c>
      <x:c r="B5" s="12" t="str">
        <x:v>2027-11</x:v>
      </x:c>
      <x:c r="C5" s="12" t="str">
        <x:v>Direct</x:v>
      </x:c>
      <x:c r="D5" s="43" t="n">
        <x:v>8</x:v>
      </x:c>
      <x:c r="E5" s="45" t="n">
        <x:v>5200</x:v>
      </x:c>
      <x:c r="F5" s="12" t="str">
        <x:v>Confirmed</x:v>
      </x:c>
      <x:c r="G5" s="53" t="str"/>
    </x:row>
    <x:row r="6" ht="15" hidden="0" customHeight="1">
      <x:c r="A6" s="12" t="str">
        <x:v>BKG-3018</x:v>
      </x:c>
      <x:c r="B6" s="12" t="str">
        <x:v>2027-11</x:v>
      </x:c>
      <x:c r="C6" s="12" t="str">
        <x:v>OTA-North</x:v>
      </x:c>
      <x:c r="D6" s="43" t="n">
        <x:v>12</x:v>
      </x:c>
      <x:c r="E6" s="45" t="n">
        <x:v>8400</x:v>
      </x:c>
      <x:c r="F6" s="12" t="str">
        <x:v>Confirmed</x:v>
      </x:c>
      <x:c r="G6" s="53" t="str"/>
    </x:row>
    <x:row r="7" ht="15" hidden="0" customHeight="1">
      <x:c r="A7" s="12" t="str">
        <x:v>BKG-3044</x:v>
      </x:c>
      <x:c r="B7" s="12" t="str">
        <x:v>2027-12</x:v>
      </x:c>
      <x:c r="C7" s="12" t="str">
        <x:v>Tour operator</x:v>
      </x:c>
      <x:c r="D7" s="43" t="n">
        <x:v>24</x:v>
      </x:c>
      <x:c r="E7" s="45" t="n">
        <x:v>18200</x:v>
      </x:c>
      <x:c r="F7" s="12" t="str">
        <x:v>Confirmed</x:v>
      </x:c>
      <x:c r="G7" s="53" t="str"/>
    </x:row>
    <x:row r="8" ht="15" hidden="0" customHeight="1">
      <x:c r="A8" s="12" t="str">
        <x:v>BKG-3062</x:v>
      </x:c>
      <x:c r="B8" s="12" t="str">
        <x:v>2027-12</x:v>
      </x:c>
      <x:c r="C8" s="12" t="str">
        <x:v>Direct</x:v>
      </x:c>
      <x:c r="D8" s="43" t="n">
        <x:v>10</x:v>
      </x:c>
      <x:c r="E8" s="45" t="n">
        <x:v>7600</x:v>
      </x:c>
      <x:c r="F8" s="12" t="str">
        <x:v>Confirmed</x:v>
      </x:c>
      <x:c r="G8" s="53" t="str"/>
    </x:row>
    <x:row r="9" ht="15" hidden="0" customHeight="1">
      <x:c r="A9" s="12" t="str">
        <x:v>BKG-3099</x:v>
      </x:c>
      <x:c r="B9" s="12" t="str">
        <x:v>2028-01</x:v>
      </x:c>
      <x:c r="C9" s="12" t="str">
        <x:v>OTA-North</x:v>
      </x:c>
      <x:c r="D9" s="43" t="n">
        <x:v>14</x:v>
      </x:c>
      <x:c r="E9" s="45" t="n">
        <x:v>11200</x:v>
      </x:c>
      <x:c r="F9" s="12" t="str">
        <x:v>Confirmed</x:v>
      </x:c>
      <x:c r="G9" s="53" t="str"/>
    </x:row>
    <x:row r="10" ht="15" hidden="0" customHeight="1">
      <x:c r="A10" s="50" t="str">
        <x:v>BKG-3118</x:v>
      </x:c>
      <x:c r="B10" s="50" t="str">
        <x:v>2028-01</x:v>
      </x:c>
      <x:c r="C10" s="50" t="str">
        <x:v>Direct</x:v>
      </x:c>
      <x:c r="D10" s="51" t="n">
        <x:v>7</x:v>
      </x:c>
      <x:c r="E10" s="52" t="n">
        <x:v>6100</x:v>
      </x:c>
      <x:c r="F10" s="50" t="str">
        <x:v>Confirmed</x:v>
      </x:c>
      <x:c r="G10" s="54" t="str">
        <x:v>Duplicate booking ID - first occurrence</x:v>
      </x:c>
    </x:row>
    <x:row r="11" ht="15" hidden="0" customHeight="1">
      <x:c r="A11" s="50" t="str">
        <x:v>BKG-3118</x:v>
      </x:c>
      <x:c r="B11" s="50" t="str">
        <x:v>2028-01</x:v>
      </x:c>
      <x:c r="C11" s="50" t="str">
        <x:v>Direct</x:v>
      </x:c>
      <x:c r="D11" s="51" t="n">
        <x:v>7</x:v>
      </x:c>
      <x:c r="E11" s="52" t="n">
        <x:v>6100</x:v>
      </x:c>
      <x:c r="F11" s="50" t="str">
        <x:v>Confirmed</x:v>
      </x:c>
      <x:c r="G11" s="54" t="str">
        <x:v>Duplicate booking ID - repeated row</x:v>
      </x:c>
    </x:row>
    <x:row r="12" ht="15" hidden="0" customHeight="1">
      <x:c r="A12" s="12" t="str">
        <x:v>BKG-3140</x:v>
      </x:c>
      <x:c r="B12" s="12" t="str">
        <x:v>2028-01</x:v>
      </x:c>
      <x:c r="C12" s="12" t="str">
        <x:v>Tour operator</x:v>
      </x:c>
      <x:c r="D12" s="43" t="n">
        <x:v>20</x:v>
      </x:c>
      <x:c r="E12" s="45" t="n">
        <x:v>16800</x:v>
      </x:c>
      <x:c r="F12" s="12" t="str">
        <x:v>Confirmed</x:v>
      </x:c>
      <x:c r="G12" s="53" t="str"/>
    </x:row>
    <x:row r="13" ht="15" hidden="0" customHeight="1">
      <x:c r="A13" s="12" t="str">
        <x:v>BKG-3188</x:v>
      </x:c>
      <x:c r="B13" s="12" t="str">
        <x:v>2028-02</x:v>
      </x:c>
      <x:c r="C13" s="12" t="str">
        <x:v>OTA-North</x:v>
      </x:c>
      <x:c r="D13" s="43" t="n">
        <x:v>16</x:v>
      </x:c>
      <x:c r="E13" s="45" t="n">
        <x:v>12700</x:v>
      </x:c>
      <x:c r="F13" s="12" t="str">
        <x:v>Confirmed</x:v>
      </x:c>
      <x:c r="G13" s="53" t="str"/>
    </x:row>
    <x:row r="14" ht="15" hidden="0" customHeight="1">
      <x:c r="A14" s="12" t="str">
        <x:v>BKG-3201</x:v>
      </x:c>
      <x:c r="B14" s="12" t="str">
        <x:v>2028-02</x:v>
      </x:c>
      <x:c r="C14" s="12" t="str">
        <x:v>Direct</x:v>
      </x:c>
      <x:c r="D14" s="43" t="n">
        <x:v>9</x:v>
      </x:c>
      <x:c r="E14" s="45" t="n">
        <x:v>7200</x:v>
      </x:c>
      <x:c r="F14" s="12" t="str">
        <x:v>Refunded</x:v>
      </x:c>
      <x:c r="G14" s="53" t="str">
        <x:v>Refund recorded in monthly summary</x:v>
      </x:c>
    </x:row>
    <x:row r="15" ht="15" hidden="0" customHeight="1">
      <x:c r="A15" s="12" t="str">
        <x:v>BKG-3244</x:v>
      </x:c>
      <x:c r="B15" s="12" t="str">
        <x:v>2028-02</x:v>
      </x:c>
      <x:c r="C15" s="12" t="str">
        <x:v>Tour operator</x:v>
      </x:c>
      <x:c r="D15" s="43" t="n">
        <x:v>18</x:v>
      </x:c>
      <x:c r="E15" s="45" t="n">
        <x:v>15100</x:v>
      </x:c>
      <x:c r="F15" s="12" t="str">
        <x:v>Confirmed</x:v>
      </x:c>
      <x:c r="G15" s="53" t="str"/>
    </x:row>
    <x:row r="16" ht="15" hidden="0" customHeight="1">
      <x:c r="A16" s="12" t="str">
        <x:v>BKG-3290</x:v>
      </x:c>
      <x:c r="B16" s="12" t="str">
        <x:v>2028-03</x:v>
      </x:c>
      <x:c r="C16" s="12" t="str">
        <x:v>Direct</x:v>
      </x:c>
      <x:c r="D16" s="43" t="n">
        <x:v>11</x:v>
      </x:c>
      <x:c r="E16" s="45" t="n">
        <x:v>8200</x:v>
      </x:c>
      <x:c r="F16" s="12" t="str">
        <x:v>Confirmed</x:v>
      </x:c>
      <x:c r="G16" s="53" t="str"/>
    </x:row>
    <x:row r="17" ht="15" hidden="0" customHeight="1">
      <x:c r="A17" s="12" t="str">
        <x:v>BKG-3305</x:v>
      </x:c>
      <x:c r="B17" s="12" t="str">
        <x:v>2028-03</x:v>
      </x:c>
      <x:c r="C17" s="12" t="str">
        <x:v>OTA-North</x:v>
      </x:c>
      <x:c r="D17" s="43" t="n">
        <x:v>15</x:v>
      </x:c>
      <x:c r="E17" s="45" t="n">
        <x:v>11700</x:v>
      </x:c>
      <x:c r="F17" s="12" t="str">
        <x:v>Cancelled</x:v>
      </x:c>
      <x:c r="G17" s="53" t="str">
        <x:v>Cancellation recorded in monthly summary</x:v>
      </x:c>
    </x:row>
    <x:row r="18" ht="15" hidden="0" customHeight="1">
      <x:c r="A18" s="12" t="str">
        <x:v>BKG-3342</x:v>
      </x:c>
      <x:c r="B18" s="12" t="str">
        <x:v>2028-03</x:v>
      </x:c>
      <x:c r="C18" s="12" t="str">
        <x:v>Tour operator</x:v>
      </x:c>
      <x:c r="D18" s="43" t="n">
        <x:v>22</x:v>
      </x:c>
      <x:c r="E18" s="45" t="n">
        <x:v>17400</x:v>
      </x:c>
      <x:c r="F18" s="12" t="str">
        <x:v>Confirmed</x:v>
      </x:c>
      <x:c r="G18" s="53" t="str"/>
    </x:row>
  </x:sheetData>
  <x:mergeCells>
    <x:mergeCell ref="A1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0" hidden="0" customWidth="1"/>
    <x:col min="5" max="5" width="42" hidden="0" customWidth="1"/>
    <x:col min="6" max="6" width="12" hidden="0" customWidth="1"/>
  </x:cols>
  <x:sheetData>
    <x:row r="1" ht="34" customHeight="1">
      <x:c r="A1" s="18" t="str">
        <x:v>PMS and Settlement Exception Register</x:v>
      </x:c>
      <x:c r="B1" s="18" t="str">
        <x:v>PMS and Settlement Exception Register</x:v>
      </x:c>
      <x:c r="C1" s="18" t="str">
        <x:v>PMS and Settlement Exception Register</x:v>
      </x:c>
      <x:c r="D1" s="18" t="str">
        <x:v>PMS and Settlement Exception Register</x:v>
      </x:c>
      <x:c r="E1" s="18" t="str">
        <x:v>PMS and Settlement Exception Register</x:v>
      </x:c>
      <x:c r="F1" s="18" t="str">
        <x:v>PMS and Settlement Exception Register</x:v>
      </x:c>
    </x:row>
    <x:row r="2" ht="34" customHeight="1">
      <x:c r="A2" s="3" t="str">
        <x:v>PMS and Settlement Exception Register</x:v>
      </x:c>
      <x:c r="B2" s="3" t="str">
        <x:v>PMS and Settlement Exception Register</x:v>
      </x:c>
      <x:c r="C2" s="3" t="str">
        <x:v>PMS and Settlement Exception Register</x:v>
      </x:c>
      <x:c r="D2" s="3" t="str">
        <x:v>PMS and Settlement Exception Register</x:v>
      </x:c>
      <x:c r="E2" s="3" t="str">
        <x:v>PMS and Settlement Exception Register</x:v>
      </x:c>
      <x:c r="F2" s="3" t="str">
        <x:v>PMS and Settlement Exception Register</x:v>
      </x:c>
    </x:row>
    <x:row r="4" ht="15" hidden="0" customHeight="1">
      <x:c r="A4" s="39" t="str">
        <x:v>Exception ID</x:v>
      </x:c>
      <x:c r="B4" s="39" t="str">
        <x:v>Source</x:v>
      </x:c>
      <x:c r="C4" s="39" t="str">
        <x:v>Severity</x:v>
      </x:c>
      <x:c r="D4" s="39" t="str">
        <x:v>Description</x:v>
      </x:c>
      <x:c r="E4" s="39" t="str">
        <x:v>Required action</x:v>
      </x:c>
      <x:c r="F4" s="39" t="str">
        <x:v>Status</x:v>
      </x:c>
    </x:row>
    <x:row r="5" ht="15" hidden="0" customHeight="1">
      <x:c r="A5" s="12" t="str">
        <x:v>PMS-DUP-001</x:v>
      </x:c>
      <x:c r="B5" s="12" t="str">
        <x:v>Bookings Raw</x:v>
      </x:c>
      <x:c r="C5" s="17" t="str">
        <x:v>High</x:v>
      </x:c>
      <x:c r="D5" s="53" t="str">
        <x:v>Booking BKG-3118 appears twice with identical values</x:v>
      </x:c>
      <x:c r="E5" s="53" t="str">
        <x:v>Resolve duplicate and confirm monthly control total</x:v>
      </x:c>
      <x:c r="F5" s="50" t="str">
        <x:v>Open</x:v>
      </x:c>
    </x:row>
    <x:row r="6" ht="15" hidden="0" customHeight="1">
      <x:c r="A6" s="12" t="str">
        <x:v>OTA-CB-001</x:v>
      </x:c>
      <x:c r="B6" s="12" t="str">
        <x:v>OTA settlement</x:v>
      </x:c>
      <x:c r="C6" s="17" t="str">
        <x:v>Medium</x:v>
      </x:c>
      <x:c r="D6" s="53" t="str">
        <x:v>January 2028 includes a disputed 42,000 USDC chargeback</x:v>
      </x:c>
      <x:c r="E6" s="53" t="str">
        <x:v>Obtain final settlement outcome</x:v>
      </x:c>
      <x:c r="F6" s="50" t="str">
        <x:v>Open</x:v>
      </x:c>
    </x:row>
    <x:row r="7" ht="26.399999618530273" hidden="0" customHeight="1">
      <x:c r="A7" s="12" t="str">
        <x:v>INV-ROOM-001</x:v>
      </x:c>
      <x:c r="B7" s="12" t="str">
        <x:v>Financing request</x:v>
      </x:c>
      <x:c r="C7" s="17" t="str">
        <x:v>Medium</x:v>
      </x:c>
      <x:c r="D7" s="53" t="str">
        <x:v>Request states 100 revenue rooms; property profile states 96 sellable rooms</x:v>
      </x:c>
      <x:c r="E7" s="53" t="str">
        <x:v>Reconcile inventory definition</x:v>
      </x:c>
      <x:c r="F7" s="50" t="str">
        <x:v>Open</x:v>
      </x:c>
    </x:row>
    <x:row r="8" ht="15" hidden="0" customHeight="1">
      <x:c r="A8" s="12" t="str">
        <x:v>DOC-INS-001</x:v>
      </x:c>
      <x:c r="B8" s="12" t="str">
        <x:v>Insurance scan</x:v>
      </x:c>
      <x:c r="C8" s="17" t="str">
        <x:v>High</x:v>
      </x:c>
      <x:c r="D8" s="53" t="str">
        <x:v>Policy expires 2027-10-31 before season start</x:v>
      </x:c>
      <x:c r="E8" s="53" t="str">
        <x:v>Obtain renewal certificate before funding</x:v>
      </x:c>
      <x:c r="F8" s="50" t="str">
        <x:v>Open</x:v>
      </x:c>
    </x:row>
  </x:sheetData>
  <x:mergeCells>
    <x:mergeCell ref="A1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2" hidden="0" customWidth="1"/>
  </x:cols>
  <x:sheetData>
    <x:row r="1" ht="34" customHeight="1">
      <x:c r="A1" s="18" t="str">
        <x:v>Workbook Controls and Expected Totals</x:v>
      </x:c>
      <x:c r="B1" s="18" t="str">
        <x:v>Workbook Controls and Expected Totals</x:v>
      </x:c>
      <x:c r="C1" s="18" t="str">
        <x:v>Workbook Controls and Expected Totals</x:v>
      </x:c>
      <x:c r="D1" s="18" t="str">
        <x:v>Workbook Controls and Expected Totals</x:v>
      </x:c>
      <x:c r="E1" s="18" t="str">
        <x:v>Workbook Controls and Expected Totals</x:v>
      </x:c>
      <x:c r="F1" s="18" t="str">
        <x:v>Workbook Controls and Expected Totals</x:v>
      </x:c>
    </x:row>
    <x:row r="2" ht="34" customHeight="1">
      <x:c r="A2" s="3" t="str">
        <x:v>Workbook Controls and Expected Totals</x:v>
      </x:c>
      <x:c r="B2" s="3" t="str">
        <x:v>Workbook Controls and Expected Totals</x:v>
      </x:c>
      <x:c r="C2" s="3" t="str">
        <x:v>Workbook Controls and Expected Totals</x:v>
      </x:c>
      <x:c r="D2" s="3" t="str">
        <x:v>Workbook Controls and Expected Totals</x:v>
      </x:c>
      <x:c r="E2" s="3" t="str">
        <x:v>Workbook Controls and Expected Totals</x:v>
      </x:c>
      <x:c r="F2" s="3" t="str">
        <x:v>Workbook Controls and Expected Totals</x:v>
      </x:c>
    </x:row>
    <x:row r="4" ht="15" hidden="0" customHeight="1">
      <x:c r="A4" s="39" t="str">
        <x:v>Check</x:v>
      </x:c>
      <x:c r="B4" s="39" t="str">
        <x:v>Actual</x:v>
      </x:c>
      <x:c r="C4" s="39" t="str">
        <x:v>Expected</x:v>
      </x:c>
      <x:c r="D4" s="39" t="str">
        <x:v>Difference</x:v>
      </x:c>
      <x:c r="E4" s="39" t="str">
        <x:v>Tolerance</x:v>
      </x:c>
      <x:c r="F4" s="39" t="str">
        <x:v>Status</x:v>
      </x:c>
    </x:row>
    <x:row r="5" ht="15" hidden="0" customHeight="1">
      <x:c r="A5" s="12" t="str">
        <x:v>Forward net booked revenue</x:v>
      </x:c>
      <x:c r="B5" s="45" t="n">
        <x:f>'PMS Monthly'!G10</x:f>
        <x:v>5600000</x:v>
      </x:c>
      <x:c r="C5" s="45" t="n">
        <x:v>5600000</x:v>
      </x:c>
      <x:c r="D5" s="45" t="n">
        <x:f>B5-C5</x:f>
        <x:v>0</x:v>
      </x:c>
      <x:c r="E5" s="45" t="n">
        <x:v>1</x:v>
      </x:c>
      <x:c r="F5" s="12" t="str">
        <x:f>IF(ABS(D5)&lt;=E5,"OK","FAIL")</x:f>
        <x:v>OK</x:v>
      </x:c>
    </x:row>
    <x:row r="6" ht="15" hidden="0" customHeight="1">
      <x:c r="A6" s="12" t="str">
        <x:v>Weighted occupancy</x:v>
      </x:c>
      <x:c r="B6" s="47" t="n">
        <x:f>'PMS Monthly'!H10</x:f>
        <x:v>0.8100328947368421</x:v>
      </x:c>
      <x:c r="C6" s="47" t="n">
        <x:v>0.8100328947368421</x:v>
      </x:c>
      <x:c r="D6" s="47" t="n">
        <x:f>B6-C6</x:f>
        <x:v>0</x:v>
      </x:c>
      <x:c r="E6" s="47" t="n">
        <x:v>0.000001</x:v>
      </x:c>
      <x:c r="F6" s="12" t="str">
        <x:f>IF(ABS(D6)&lt;=E6,"OK","FAIL")</x:f>
        <x:v>OK</x:v>
      </x:c>
    </x:row>
    <x:row r="7" ht="15" hidden="0" customHeight="1">
      <x:c r="A7" s="12" t="str">
        <x:v>Gross less cancellations and refunds</x:v>
      </x:c>
      <x:c r="B7" s="45" t="n">
        <x:f>'PMS Monthly'!D10-'PMS Monthly'!E10-'PMS Monthly'!F10</x:f>
        <x:v>5600000</x:v>
      </x:c>
      <x:c r="C7" s="45" t="n">
        <x:v>5600000</x:v>
      </x:c>
      <x:c r="D7" s="45" t="n">
        <x:f>B7-C7</x:f>
        <x:v>0</x:v>
      </x:c>
      <x:c r="E7" s="45" t="n">
        <x:v>1</x:v>
      </x:c>
      <x:c r="F7" s="12" t="str">
        <x:f>IF(ABS(D7)&lt;=E7,"OK","FAIL")</x:f>
        <x:v>OK</x:v>
      </x:c>
    </x:row>
    <x:row r="8" ht="15" hidden="0" customHeight="1">
      <x:c r="A8" s="12" t="str">
        <x:v>Duplicate BKG-3118 row count</x:v>
      </x:c>
      <x:c r="B8" s="43" t="n">
        <x:f>COUNTIF('Bookings Raw'!A5:A18,"BKG-3118")</x:f>
        <x:v>2</x:v>
      </x:c>
      <x:c r="C8" s="43" t="n">
        <x:v>2</x:v>
      </x:c>
      <x:c r="D8" s="43" t="n">
        <x:f>B8-C8</x:f>
        <x:v>0</x:v>
      </x:c>
      <x:c r="E8" s="43" t="n">
        <x:v>0</x:v>
      </x:c>
      <x:c r="F8" s="12" t="str">
        <x:f>IF(ABS(D8)&lt;=E8,"OK","FAIL")</x:f>
        <x:v>OK</x:v>
      </x:c>
    </x:row>
    <x:row r="9" ht="15" hidden="0" customHeight="1">
      <x:c r="A9" s="12" t="str">
        <x:v>Sellable room count</x:v>
      </x:c>
      <x:c r="B9" s="43" t="n">
        <x:f>Cover!B8</x:f>
        <x:v>96</x:v>
      </x:c>
      <x:c r="C9" s="43" t="n">
        <x:v>96</x:v>
      </x:c>
      <x:c r="D9" s="43" t="n">
        <x:f>B9-C9</x:f>
        <x:v>0</x:v>
      </x:c>
      <x:c r="E9" s="43" t="n">
        <x:v>0</x:v>
      </x:c>
      <x:c r="F9" s="12" t="str">
        <x:f>IF(ABS(D9)&lt;=E9,"OK","FAIL")</x:f>
        <x:v>OK</x:v>
      </x:c>
    </x:row>
    <x:row r="10" ht="15" hidden="0" customHeight="1">
      <x:c r="A10" s="12" t="str">
        <x:v>Workbook status</x:v>
      </x:c>
      <x:c r="B10" s="12" t="str">
        <x:v>All source totals and exceptions explicitly documented</x:v>
      </x:c>
      <x:c r="C10" s="12"/>
      <x:c r="D10" s="12"/>
      <x:c r="E10" s="12"/>
      <x:c r="F10" s="12" t="str">
        <x:f>IF(COUNTIF(F5:F9,"FAIL")=0,"OK","FAIL")</x:f>
        <x:v>OK</x:v>
      </x:c>
    </x:row>
  </x:sheetData>
  <x:mergeCells>
    <x:mergeCell ref="A1:F2"/>
    <x:mergeCell ref="C10:E10"/>
  </x:mergeCells>
  <x:conditionalFormatting sqref="F5:F10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